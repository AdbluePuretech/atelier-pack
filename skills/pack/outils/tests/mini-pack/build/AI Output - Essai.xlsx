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bookViews>
    <workbookView xWindow="-120" yWindow="-120" windowWidth="38640" windowHeight="21120" xr2:uid="{00000000-000D-0000-FFFF-FFFF00000000}"/>
  </bookViews>
  <sheets>
    <sheet name="Input_Sheet" sheetId="1" r:id="rId1"/>
    <sheet name="Calc" sheetId="2" r:id="rId2"/>
  </sheets>
  <definedNames>
    <definedName name="Brk_Fee">Input_Sheet!$E$7</definedName>
  </definedNames>
  <calcPr calcId="191029" iterate="1" iterateCount="200" iterateDelta="9.9999999999999995E-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F4" i="2"/>
  <c r="G4" i="2"/>
  <c r="H4" i="2"/>
  <c r="I4" i="2"/>
  <c r="E5" i="2"/>
  <c r="F5" i="2"/>
  <c r="G5" i="2"/>
  <c r="H5" i="2"/>
  <c r="I5" i="2"/>
  <c r="E6" i="2"/>
  <c r="F6" i="2"/>
  <c r="G6" i="2"/>
  <c r="H6" i="2"/>
  <c r="I6" i="2"/>
</calcChain>
</file>

<file path=xl/sharedStrings.xml><?xml version="1.0" encoding="utf-8"?>
<sst xmlns="http://schemas.openxmlformats.org/spreadsheetml/2006/main" count="14" uniqueCount="14">
  <si>
    <t>Input_Sheet</t>
  </si>
  <si>
    <t>Loan amount</t>
  </si>
  <si>
    <t>Fee rate</t>
  </si>
  <si>
    <t>Interest rate</t>
  </si>
  <si>
    <t>Loop breaker</t>
  </si>
  <si>
    <t>Calc</t>
  </si>
  <si>
    <t>FY2026</t>
  </si>
  <si>
    <t>FY2027</t>
  </si>
  <si>
    <t>FY2028</t>
  </si>
  <si>
    <t>FY2029</t>
  </si>
  <si>
    <t>FY2030</t>
  </si>
  <si>
    <t>Net proceeds</t>
  </si>
  <si>
    <t>Fee on net proceeds</t>
  </si>
  <si>
    <t>Interest on net proceeds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</si>
</sst>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sz val="9"/>
      <color rgb="FF0000FF"/>
      <name val="Arial"/>
    </font>
    <font>
      <sz val="9"/>
      <color rgb="FF008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39" fontId="3" fillId="0" borderId="0" xfId="0" applyNumberFormat="1" applyFont="1"/>
    <xf numFmtId="39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7"/>
  <sheetViews>
    <sheetView showGridLines="0" tabSelected="1" workbookViewId="0"/>
  </sheetViews>
  <sheetFormatPr defaultRowHeight="15" x14ac:dyDescent="0.25"/>
  <sheetData>
    <row r="2" spans="3:5" x14ac:dyDescent="0.25">
      <c r="C2" s="1" t="s">
        <v>0</v>
      </c>
    </row>
    <row r="4" spans="3:5" x14ac:dyDescent="0.25">
      <c r="C4" s="2" t="s">
        <v>1</v>
      </c>
      <c r="E4" s="3">
        <v>100</v>
      </c>
    </row>
    <row r="5" spans="3:5" x14ac:dyDescent="0.25">
      <c r="C5" s="2" t="s">
        <v>2</v>
      </c>
      <c r="E5" s="3">
        <v>0</v>
      </c>
    </row>
    <row r="6" spans="3:5" x14ac:dyDescent="0.25">
      <c r="C6" s="2" t="s">
        <v>3</v>
      </c>
      <c r="E6" s="3">
        <v>0.05</v>
      </c>
    </row>
    <row r="7" spans="3:5" x14ac:dyDescent="0.25">
      <c r="C7" s="2" t="s">
        <v>4</v>
      </c>
      <c r="E7" s="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I6"/>
  <sheetViews>
    <sheetView showGridLines="0" workbookViewId="0"/>
  </sheetViews>
  <sheetFormatPr defaultRowHeight="15" x14ac:dyDescent="0.25"/>
  <sheetData>
    <row r="2" spans="3:9" x14ac:dyDescent="0.25">
      <c r="C2" s="1" t="s">
        <v>5</v>
      </c>
    </row>
    <row r="3" spans="3:9" x14ac:dyDescent="0.25"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3:9" x14ac:dyDescent="0.25">
      <c r="C4" s="2" t="s">
        <v>11</v>
      </c>
      <c r="E4" s="4">
        <f ca="1">Input_Sheet!$E$4-N(E5)</f>
        <v>100</v>
      </c>
      <c r="F4" s="4">
        <f ca="1">Input_Sheet!$E$4-N(F5)</f>
        <v>100</v>
      </c>
      <c r="G4" s="4">
        <f ca="1">Input_Sheet!$E$4-N(G5)</f>
        <v>100</v>
      </c>
      <c r="H4" s="4">
        <f ca="1">Input_Sheet!$E$4-N(H5)</f>
        <v>100</v>
      </c>
      <c r="I4" s="4">
        <f ca="1">Input_Sheet!$E$4-N(I5)</f>
        <v>100</v>
      </c>
    </row>
    <row r="5" spans="3:9" x14ac:dyDescent="0.25">
      <c r="C5" s="2" t="s">
        <v>12</v>
      </c>
      <c r="E5" s="4">
        <f ca="1">IF(Brk_Fee=1,Input_Sheet!$E$5*N(E4),0)</f>
        <v>0</v>
      </c>
      <c r="F5" s="4">
        <f ca="1">IF(Brk_Fee=1,Input_Sheet!$E$5*N(F4),0)</f>
        <v>0</v>
      </c>
      <c r="G5" s="4">
        <f ca="1">IF(Brk_Fee=1,Input_Sheet!$E$5*N(G4),0)</f>
        <v>0</v>
      </c>
      <c r="H5" s="4">
        <f ca="1">IF(Brk_Fee=1,Input_Sheet!$E$5*N(H4),0)</f>
        <v>0</v>
      </c>
      <c r="I5" s="4">
        <f ca="1">IF(Brk_Fee=1,Input_Sheet!$E$5*N(I4),0)</f>
        <v>0</v>
      </c>
    </row>
    <row r="6" spans="3:9" x14ac:dyDescent="0.25">
      <c r="C6" s="2" t="s">
        <v>13</v>
      </c>
      <c r="E6" s="4">
        <f ca="1">Input_Sheet!$E$6*E4</f>
        <v>5</v>
      </c>
      <c r="F6" s="4">
        <f ca="1">Input_Sheet!$E$6*F4</f>
        <v>5</v>
      </c>
      <c r="G6" s="4">
        <f ca="1">Input_Sheet!$E$6*G4</f>
        <v>5</v>
      </c>
      <c r="H6" s="4">
        <f ca="1">Input_Sheet!$E$6*H4</f>
        <v>5</v>
      </c>
      <c r="I6" s="4">
        <f ca="1">Input_Sheet!$E$6*I4</f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Input_Sheet</vt:lpstr>
      <vt:lpstr>Calc</vt:lpstr>
      <vt:lpstr>Brk_Fee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2026-09-16T17:47:34Z</dcterms:created>
  <dcterms:modified xsi:type="dcterms:W3CDTF">2026-09-16T17:47:38Z</dcterms:modified>
</cp:coreProperties>
</file>